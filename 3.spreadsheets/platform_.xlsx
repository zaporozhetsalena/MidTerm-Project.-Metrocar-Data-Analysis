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Git\metrocar\MidTerm-Project.-Metrocar-Data-Analysis\3.spreadsheets\"/>
    </mc:Choice>
  </mc:AlternateContent>
  <xr:revisionPtr revIDLastSave="0" documentId="13_ncr:1_{381F9F1B-36D7-4BF4-B186-DED6E3F83730}" xr6:coauthVersionLast="44" xr6:coauthVersionMax="44" xr10:uidLastSave="{00000000-0000-0000-0000-000000000000}"/>
  <bookViews>
    <workbookView xWindow="-120" yWindow="-120" windowWidth="20640" windowHeight="11160" activeTab="1" xr2:uid="{00000000-000D-0000-FFFF-FFFF00000000}"/>
  </bookViews>
  <sheets>
    <sheet name="Аркуш4" sheetId="4" r:id="rId1"/>
    <sheet name="Аркуш1" sheetId="1" r:id="rId2"/>
  </sheets>
  <definedNames>
    <definedName name="_xlnm._FilterDatabase" localSheetId="1" hidden="1">Аркуш1!$E$3:$I$10</definedName>
  </definedNames>
  <calcPr calcId="18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8" i="1" l="1"/>
  <c r="N7" i="1"/>
  <c r="N5" i="1"/>
  <c r="N8" i="1"/>
  <c r="N6" i="1"/>
  <c r="L5" i="1"/>
  <c r="M5" i="1"/>
  <c r="M8" i="1"/>
  <c r="M7" i="1"/>
  <c r="M6" i="1"/>
  <c r="L7" i="1"/>
  <c r="L6" i="1"/>
</calcChain>
</file>

<file path=xl/sharedStrings.xml><?xml version="1.0" encoding="utf-8"?>
<sst xmlns="http://schemas.openxmlformats.org/spreadsheetml/2006/main" count="96" uniqueCount="28">
  <si>
    <t>android</t>
  </si>
  <si>
    <t>download</t>
  </si>
  <si>
    <t>payment</t>
  </si>
  <si>
    <t>review</t>
  </si>
  <si>
    <t>ride_accepted</t>
  </si>
  <si>
    <t>ride_completed</t>
  </si>
  <si>
    <t>ride_requested</t>
  </si>
  <si>
    <t>signup</t>
  </si>
  <si>
    <t>ios</t>
  </si>
  <si>
    <t>web</t>
  </si>
  <si>
    <t>platform</t>
  </si>
  <si>
    <t>funnel_name</t>
  </si>
  <si>
    <t>users</t>
  </si>
  <si>
    <t>Позначки рядків</t>
  </si>
  <si>
    <t>Загальний підсумок</t>
  </si>
  <si>
    <t>Позначки стовпців</t>
  </si>
  <si>
    <t>Сума з users</t>
  </si>
  <si>
    <t>Grand Total</t>
  </si>
  <si>
    <t>total users</t>
  </si>
  <si>
    <t>Conversion</t>
  </si>
  <si>
    <t>Download</t>
  </si>
  <si>
    <t>Signup</t>
  </si>
  <si>
    <t>Request</t>
  </si>
  <si>
    <t>Accepted</t>
  </si>
  <si>
    <t>completed</t>
  </si>
  <si>
    <t>Стовпець1</t>
  </si>
  <si>
    <t>This stage represents the most critical friction point in the user journey and has the highest impact on revenue loss.</t>
  </si>
  <si>
    <t>Стовпець2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</si>
</sst>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center"/>
    </xf>
    <xf numFmtId="10" fontId="0" fillId="0" borderId="0" xfId="0" applyNumberFormat="1"/>
    <xf numFmtId="0" fontId="0" fillId="4" borderId="1" xfId="0" applyFill="1" applyBorder="1"/>
    <xf numFmtId="0" fontId="0" fillId="0" borderId="0" xfId="0" applyAlignment="1"/>
    <xf numFmtId="0" fontId="0" fillId="0" borderId="2" xfId="0" applyBorder="1" applyAlignment="1"/>
    <xf numFmtId="9" fontId="0" fillId="0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4" xfId="0" applyFill="1" applyBorder="1"/>
    <xf numFmtId="9" fontId="0" fillId="0" borderId="4" xfId="0" applyNumberForma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9" fontId="0" fillId="4" borderId="6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3" xfId="0" applyFill="1" applyBorder="1"/>
  </cellXfs>
  <cellStyles count="1">
    <cellStyle name="Звичайний" xfId="0" builtinId="0"/>
  </cellStyles>
  <dxfs count="4">
    <dxf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" refreshedDate="46109.786673958333" createdVersion="6" refreshedVersion="6" minRefreshableVersion="3" recordCount="21" xr:uid="{705AC0F2-DEB4-498A-9DAC-12D53D9CEEB0}">
  <cacheSource type="worksheet">
    <worksheetSource ref="A1:C22" sheet="Аркуш1"/>
  </cacheSource>
  <cacheFields count="3">
    <cacheField name="platform" numFmtId="0">
      <sharedItems count="3">
        <s v="android"/>
        <s v="ios"/>
        <s v="web"/>
      </sharedItems>
    </cacheField>
    <cacheField name="funnel_name" numFmtId="0">
      <sharedItems count="7">
        <s v="download"/>
        <s v="payment"/>
        <s v="review"/>
        <s v="ride_accepted"/>
        <s v="ride_completed"/>
        <s v="ride_requested"/>
        <s v="signup"/>
      </sharedItems>
    </cacheField>
    <cacheField name="users" numFmtId="0">
      <sharedItems containsSemiMixedTypes="0" containsString="0" containsNumber="1" containsInteger="1" minValue="424" maxValue="14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6935"/>
  </r>
  <r>
    <x v="0"/>
    <x v="1"/>
    <n v="1830"/>
  </r>
  <r>
    <x v="0"/>
    <x v="2"/>
    <n v="1273"/>
  </r>
  <r>
    <x v="0"/>
    <x v="3"/>
    <n v="3580"/>
  </r>
  <r>
    <x v="0"/>
    <x v="4"/>
    <n v="1830"/>
  </r>
  <r>
    <x v="0"/>
    <x v="5"/>
    <n v="3619"/>
  </r>
  <r>
    <x v="0"/>
    <x v="6"/>
    <n v="5148"/>
  </r>
  <r>
    <x v="1"/>
    <x v="0"/>
    <n v="14290"/>
  </r>
  <r>
    <x v="1"/>
    <x v="1"/>
    <n v="3792"/>
  </r>
  <r>
    <x v="1"/>
    <x v="2"/>
    <n v="2651"/>
  </r>
  <r>
    <x v="1"/>
    <x v="3"/>
    <n v="7471"/>
  </r>
  <r>
    <x v="1"/>
    <x v="4"/>
    <n v="3792"/>
  </r>
  <r>
    <x v="1"/>
    <x v="5"/>
    <n v="7550"/>
  </r>
  <r>
    <x v="1"/>
    <x v="6"/>
    <n v="10728"/>
  </r>
  <r>
    <x v="2"/>
    <x v="0"/>
    <n v="2383"/>
  </r>
  <r>
    <x v="2"/>
    <x v="1"/>
    <n v="611"/>
  </r>
  <r>
    <x v="2"/>
    <x v="2"/>
    <n v="424"/>
  </r>
  <r>
    <x v="2"/>
    <x v="3"/>
    <n v="1227"/>
  </r>
  <r>
    <x v="2"/>
    <x v="4"/>
    <n v="611"/>
  </r>
  <r>
    <x v="2"/>
    <x v="5"/>
    <n v="1237"/>
  </r>
  <r>
    <x v="2"/>
    <x v="6"/>
    <n v="17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89394-A172-4F10-9C4F-62D89D2D4C6D}" name="Зведена таблиця6" cacheId="24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>
  <location ref="A15:B19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а з us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1A35A-EAB7-419A-B5BF-5AC2CCB02B9B}" name="Зведена таблиця5" cacheId="24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>
  <location ref="A3:E12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а з us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90C60-7FA7-452E-86ED-697129370C41}" name="Таблиця1" displayName="Таблиця1" ref="K3:O8" totalsRowShown="0" headerRowDxfId="0" tableBorderDxfId="3">
  <autoFilter ref="K3:O8" xr:uid="{0E9C9B9B-8EC9-4A9B-AC44-3FDD5F85042A}"/>
  <tableColumns count="5">
    <tableColumn id="1" xr3:uid="{4EA6ACE2-B852-42B7-B90C-80E4099BC6C5}" name="Стовпець1" dataDxfId="2"/>
    <tableColumn id="2" xr3:uid="{F92F1C5E-F399-45AD-9FC3-5E99DE727043}" name="android" dataDxfId="1"/>
    <tableColumn id="3" xr3:uid="{472D883D-DF25-4C11-9AD9-FD5DEEE45F08}" name="ios"/>
    <tableColumn id="4" xr3:uid="{9A85EB41-09D7-4BB7-83D5-52DBB21C38E1}" name="web"/>
    <tableColumn id="5" xr3:uid="{9C53E155-8D6B-4E5F-A379-5A30E1E91CFA}" name="Стовпець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77BA-27CF-454E-96E6-9DB6B817580B}">
  <dimension ref="A3:E19"/>
  <sheetViews>
    <sheetView workbookViewId="0">
      <selection activeCell="B4" sqref="B4:D4"/>
    </sheetView>
  </sheetViews>
  <sheetFormatPr defaultRowHeight="15" x14ac:dyDescent="0.25"/>
  <cols>
    <col min="1" max="1" width="17.125" bestFit="1" customWidth="1"/>
    <col min="2" max="2" width="10.625" bestFit="1" customWidth="1"/>
    <col min="3" max="3" width="5.875" bestFit="1" customWidth="1"/>
    <col min="4" max="4" width="4.875" bestFit="1" customWidth="1"/>
    <col min="5" max="5" width="12.375" customWidth="1"/>
  </cols>
  <sheetData>
    <row r="3" spans="1:5" x14ac:dyDescent="0.25">
      <c r="A3" s="1" t="s">
        <v>16</v>
      </c>
      <c r="B3" s="1" t="s">
        <v>15</v>
      </c>
    </row>
    <row r="4" spans="1:5" x14ac:dyDescent="0.25">
      <c r="A4" s="1" t="s">
        <v>13</v>
      </c>
      <c r="B4" t="s">
        <v>0</v>
      </c>
      <c r="C4" t="s">
        <v>8</v>
      </c>
      <c r="D4" t="s">
        <v>9</v>
      </c>
      <c r="E4" t="s">
        <v>14</v>
      </c>
    </row>
    <row r="5" spans="1:5" x14ac:dyDescent="0.25">
      <c r="A5" s="2" t="s">
        <v>1</v>
      </c>
      <c r="B5" s="3">
        <v>6935</v>
      </c>
      <c r="C5" s="3">
        <v>14290</v>
      </c>
      <c r="D5" s="3">
        <v>2383</v>
      </c>
      <c r="E5" s="3">
        <v>23608</v>
      </c>
    </row>
    <row r="6" spans="1:5" x14ac:dyDescent="0.25">
      <c r="A6" s="2" t="s">
        <v>2</v>
      </c>
      <c r="B6" s="3">
        <v>1830</v>
      </c>
      <c r="C6" s="3">
        <v>3792</v>
      </c>
      <c r="D6" s="3">
        <v>611</v>
      </c>
      <c r="E6" s="3">
        <v>6233</v>
      </c>
    </row>
    <row r="7" spans="1:5" x14ac:dyDescent="0.25">
      <c r="A7" s="2" t="s">
        <v>3</v>
      </c>
      <c r="B7" s="3">
        <v>1273</v>
      </c>
      <c r="C7" s="3">
        <v>2651</v>
      </c>
      <c r="D7" s="3">
        <v>424</v>
      </c>
      <c r="E7" s="3">
        <v>4348</v>
      </c>
    </row>
    <row r="8" spans="1:5" x14ac:dyDescent="0.25">
      <c r="A8" s="2" t="s">
        <v>4</v>
      </c>
      <c r="B8" s="3">
        <v>3580</v>
      </c>
      <c r="C8" s="3">
        <v>7471</v>
      </c>
      <c r="D8" s="3">
        <v>1227</v>
      </c>
      <c r="E8" s="3">
        <v>12278</v>
      </c>
    </row>
    <row r="9" spans="1:5" x14ac:dyDescent="0.25">
      <c r="A9" s="2" t="s">
        <v>5</v>
      </c>
      <c r="B9" s="3">
        <v>1830</v>
      </c>
      <c r="C9" s="3">
        <v>3792</v>
      </c>
      <c r="D9" s="3">
        <v>611</v>
      </c>
      <c r="E9" s="3">
        <v>6233</v>
      </c>
    </row>
    <row r="10" spans="1:5" x14ac:dyDescent="0.25">
      <c r="A10" s="2" t="s">
        <v>6</v>
      </c>
      <c r="B10" s="3">
        <v>3619</v>
      </c>
      <c r="C10" s="3">
        <v>7550</v>
      </c>
      <c r="D10" s="3">
        <v>1237</v>
      </c>
      <c r="E10" s="3">
        <v>12406</v>
      </c>
    </row>
    <row r="11" spans="1:5" x14ac:dyDescent="0.25">
      <c r="A11" s="2" t="s">
        <v>7</v>
      </c>
      <c r="B11" s="3">
        <v>5148</v>
      </c>
      <c r="C11" s="3">
        <v>10728</v>
      </c>
      <c r="D11" s="3">
        <v>1747</v>
      </c>
      <c r="E11" s="3">
        <v>17623</v>
      </c>
    </row>
    <row r="12" spans="1:5" x14ac:dyDescent="0.25">
      <c r="A12" s="2" t="s">
        <v>14</v>
      </c>
      <c r="B12" s="3">
        <v>24215</v>
      </c>
      <c r="C12" s="3">
        <v>50274</v>
      </c>
      <c r="D12" s="3">
        <v>8240</v>
      </c>
      <c r="E12" s="3">
        <v>82729</v>
      </c>
    </row>
    <row r="15" spans="1:5" x14ac:dyDescent="0.25">
      <c r="A15" s="1" t="s">
        <v>13</v>
      </c>
      <c r="B15" t="s">
        <v>16</v>
      </c>
    </row>
    <row r="16" spans="1:5" x14ac:dyDescent="0.25">
      <c r="A16" s="2" t="s">
        <v>0</v>
      </c>
      <c r="B16" s="3">
        <v>24215</v>
      </c>
    </row>
    <row r="17" spans="1:2" x14ac:dyDescent="0.25">
      <c r="A17" s="2" t="s">
        <v>8</v>
      </c>
      <c r="B17" s="3">
        <v>50274</v>
      </c>
    </row>
    <row r="18" spans="1:2" x14ac:dyDescent="0.25">
      <c r="A18" s="2" t="s">
        <v>9</v>
      </c>
      <c r="B18" s="3">
        <v>8240</v>
      </c>
    </row>
    <row r="19" spans="1:2" x14ac:dyDescent="0.25">
      <c r="A19" s="2" t="s">
        <v>14</v>
      </c>
      <c r="B19" s="3">
        <v>82729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B1" workbookViewId="0">
      <selection activeCell="B1" sqref="B1"/>
    </sheetView>
  </sheetViews>
  <sheetFormatPr defaultRowHeight="15" x14ac:dyDescent="0.25"/>
  <cols>
    <col min="2" max="2" width="12.875" customWidth="1"/>
    <col min="4" max="4" width="6.5" customWidth="1"/>
    <col min="5" max="5" width="15.25" customWidth="1"/>
    <col min="6" max="6" width="13.125" customWidth="1"/>
    <col min="9" max="9" width="12" customWidth="1"/>
    <col min="11" max="11" width="11.25" customWidth="1"/>
    <col min="15" max="15" width="27.25" customWidth="1"/>
  </cols>
  <sheetData>
    <row r="1" spans="1:15" x14ac:dyDescent="0.25">
      <c r="A1" t="s">
        <v>10</v>
      </c>
      <c r="B1" t="s">
        <v>11</v>
      </c>
      <c r="C1" t="s">
        <v>12</v>
      </c>
    </row>
    <row r="2" spans="1:15" x14ac:dyDescent="0.25">
      <c r="A2" t="s">
        <v>0</v>
      </c>
      <c r="B2" t="s">
        <v>1</v>
      </c>
      <c r="C2">
        <v>6935</v>
      </c>
      <c r="E2" s="4"/>
      <c r="F2" s="5"/>
      <c r="G2" s="5"/>
      <c r="H2" s="5"/>
      <c r="I2" s="4"/>
      <c r="J2" s="14"/>
      <c r="K2" s="10" t="s">
        <v>19</v>
      </c>
      <c r="L2" s="10"/>
      <c r="M2" s="10"/>
    </row>
    <row r="3" spans="1:15" x14ac:dyDescent="0.25">
      <c r="A3" t="s">
        <v>0</v>
      </c>
      <c r="B3" t="s">
        <v>2</v>
      </c>
      <c r="C3">
        <v>1830</v>
      </c>
      <c r="E3" s="9" t="s">
        <v>11</v>
      </c>
      <c r="F3" s="9" t="s">
        <v>0</v>
      </c>
      <c r="G3" s="9" t="s">
        <v>8</v>
      </c>
      <c r="H3" s="9" t="s">
        <v>9</v>
      </c>
      <c r="I3" s="9" t="s">
        <v>17</v>
      </c>
      <c r="K3" s="13" t="s">
        <v>25</v>
      </c>
      <c r="L3" s="9" t="s">
        <v>0</v>
      </c>
      <c r="M3" s="9" t="s">
        <v>8</v>
      </c>
      <c r="N3" s="17" t="s">
        <v>9</v>
      </c>
      <c r="O3" s="24" t="s">
        <v>27</v>
      </c>
    </row>
    <row r="4" spans="1:15" x14ac:dyDescent="0.25">
      <c r="A4" t="s">
        <v>0</v>
      </c>
      <c r="B4" t="s">
        <v>3</v>
      </c>
      <c r="C4">
        <v>1273</v>
      </c>
      <c r="E4" s="4" t="s">
        <v>1</v>
      </c>
      <c r="F4" s="4">
        <v>6935</v>
      </c>
      <c r="G4" s="4">
        <v>14290</v>
      </c>
      <c r="H4" s="4">
        <v>2383</v>
      </c>
      <c r="I4" s="4">
        <v>23608</v>
      </c>
      <c r="K4" s="5" t="s">
        <v>20</v>
      </c>
      <c r="L4" s="15">
        <v>1</v>
      </c>
      <c r="M4" s="15">
        <v>1</v>
      </c>
      <c r="N4" s="18">
        <v>1</v>
      </c>
    </row>
    <row r="5" spans="1:15" x14ac:dyDescent="0.25">
      <c r="A5" t="s">
        <v>0</v>
      </c>
      <c r="B5" t="s">
        <v>4</v>
      </c>
      <c r="C5">
        <v>3580</v>
      </c>
      <c r="E5" s="4" t="s">
        <v>7</v>
      </c>
      <c r="F5" s="4">
        <v>5148</v>
      </c>
      <c r="G5" s="4">
        <v>10728</v>
      </c>
      <c r="H5" s="4">
        <v>1747</v>
      </c>
      <c r="I5" s="4">
        <v>17623</v>
      </c>
      <c r="K5" s="5" t="s">
        <v>21</v>
      </c>
      <c r="L5" s="16">
        <f>F5/F4</f>
        <v>0.74232155731795246</v>
      </c>
      <c r="M5" s="15">
        <f>G5/G4</f>
        <v>0.75073477956613011</v>
      </c>
      <c r="N5" s="18">
        <f>H5/H4</f>
        <v>0.73310952580780531</v>
      </c>
    </row>
    <row r="6" spans="1:15" x14ac:dyDescent="0.25">
      <c r="A6" t="s">
        <v>0</v>
      </c>
      <c r="B6" t="s">
        <v>5</v>
      </c>
      <c r="C6">
        <v>1830</v>
      </c>
      <c r="E6" s="4" t="s">
        <v>6</v>
      </c>
      <c r="F6" s="4">
        <v>3619</v>
      </c>
      <c r="G6" s="4">
        <v>7550</v>
      </c>
      <c r="H6" s="4">
        <v>1237</v>
      </c>
      <c r="I6" s="4">
        <v>12406</v>
      </c>
      <c r="K6" s="5" t="s">
        <v>22</v>
      </c>
      <c r="L6" s="16">
        <f>F6/F5</f>
        <v>0.70299145299145294</v>
      </c>
      <c r="M6" s="16">
        <f>G6/G5</f>
        <v>0.70376584638329609</v>
      </c>
      <c r="N6" s="19">
        <f>H6/H5</f>
        <v>0.70807097882083569</v>
      </c>
    </row>
    <row r="7" spans="1:15" x14ac:dyDescent="0.25">
      <c r="A7" t="s">
        <v>0</v>
      </c>
      <c r="B7" t="s">
        <v>6</v>
      </c>
      <c r="C7">
        <v>3619</v>
      </c>
      <c r="E7" s="4" t="s">
        <v>4</v>
      </c>
      <c r="F7" s="4">
        <v>3580</v>
      </c>
      <c r="G7" s="4">
        <v>7471</v>
      </c>
      <c r="H7" s="4">
        <v>1227</v>
      </c>
      <c r="I7" s="4">
        <v>12278</v>
      </c>
      <c r="K7" s="22" t="s">
        <v>23</v>
      </c>
      <c r="L7" s="16">
        <f>F7/F6</f>
        <v>0.98922354241503174</v>
      </c>
      <c r="M7" s="16">
        <f>G7/G6</f>
        <v>0.98953642384105955</v>
      </c>
      <c r="N7" s="19">
        <f>H7/H6</f>
        <v>0.99191592562651576</v>
      </c>
    </row>
    <row r="8" spans="1:15" x14ac:dyDescent="0.25">
      <c r="A8" t="s">
        <v>0</v>
      </c>
      <c r="B8" t="s">
        <v>7</v>
      </c>
      <c r="C8">
        <v>5148</v>
      </c>
      <c r="E8" s="4" t="s">
        <v>2</v>
      </c>
      <c r="F8" s="4">
        <v>1830</v>
      </c>
      <c r="G8" s="4">
        <v>3792</v>
      </c>
      <c r="H8" s="12">
        <v>611</v>
      </c>
      <c r="I8" s="4">
        <v>6233</v>
      </c>
      <c r="K8" s="23" t="s">
        <v>24</v>
      </c>
      <c r="L8" s="20">
        <f>F9/F7</f>
        <v>0.51117318435754189</v>
      </c>
      <c r="M8" s="20">
        <f>G9/G7</f>
        <v>0.50756257529112569</v>
      </c>
      <c r="N8" s="21">
        <f>H9/H7</f>
        <v>0.49796251018744908</v>
      </c>
      <c r="O8" t="s">
        <v>26</v>
      </c>
    </row>
    <row r="9" spans="1:15" x14ac:dyDescent="0.25">
      <c r="A9" t="s">
        <v>8</v>
      </c>
      <c r="B9" t="s">
        <v>1</v>
      </c>
      <c r="C9">
        <v>14290</v>
      </c>
      <c r="E9" s="4" t="s">
        <v>5</v>
      </c>
      <c r="F9" s="4">
        <v>1830</v>
      </c>
      <c r="G9" s="4">
        <v>3792</v>
      </c>
      <c r="H9" s="12">
        <v>611</v>
      </c>
      <c r="I9" s="4">
        <v>6233</v>
      </c>
    </row>
    <row r="10" spans="1:15" x14ac:dyDescent="0.25">
      <c r="A10" t="s">
        <v>8</v>
      </c>
      <c r="B10" t="s">
        <v>2</v>
      </c>
      <c r="C10">
        <v>3792</v>
      </c>
      <c r="E10" s="4" t="s">
        <v>3</v>
      </c>
      <c r="F10" s="4">
        <v>1273</v>
      </c>
      <c r="G10" s="4">
        <v>2651</v>
      </c>
      <c r="H10" s="12">
        <v>424</v>
      </c>
      <c r="I10" s="4">
        <v>4348</v>
      </c>
    </row>
    <row r="11" spans="1:15" x14ac:dyDescent="0.25">
      <c r="A11" t="s">
        <v>8</v>
      </c>
      <c r="B11" t="s">
        <v>3</v>
      </c>
      <c r="C11">
        <v>2651</v>
      </c>
      <c r="E11" s="4"/>
      <c r="F11" s="4"/>
      <c r="G11" s="4"/>
      <c r="H11" s="4"/>
      <c r="I11" s="4"/>
    </row>
    <row r="12" spans="1:15" x14ac:dyDescent="0.25">
      <c r="A12" t="s">
        <v>8</v>
      </c>
      <c r="B12" t="s">
        <v>4</v>
      </c>
      <c r="C12">
        <v>7471</v>
      </c>
    </row>
    <row r="13" spans="1:15" x14ac:dyDescent="0.25">
      <c r="A13" t="s">
        <v>8</v>
      </c>
      <c r="B13" t="s">
        <v>5</v>
      </c>
      <c r="C13">
        <v>3792</v>
      </c>
    </row>
    <row r="14" spans="1:15" x14ac:dyDescent="0.25">
      <c r="A14" t="s">
        <v>8</v>
      </c>
      <c r="B14" t="s">
        <v>6</v>
      </c>
      <c r="C14">
        <v>7550</v>
      </c>
      <c r="E14" s="8" t="s">
        <v>10</v>
      </c>
      <c r="F14" s="8" t="s">
        <v>18</v>
      </c>
    </row>
    <row r="15" spans="1:15" x14ac:dyDescent="0.25">
      <c r="A15" t="s">
        <v>8</v>
      </c>
      <c r="B15" t="s">
        <v>7</v>
      </c>
      <c r="C15">
        <v>10728</v>
      </c>
      <c r="E15" s="6" t="s">
        <v>8</v>
      </c>
      <c r="F15" s="6">
        <v>50274</v>
      </c>
      <c r="G15" s="11"/>
    </row>
    <row r="16" spans="1:15" x14ac:dyDescent="0.25">
      <c r="A16" t="s">
        <v>9</v>
      </c>
      <c r="B16" t="s">
        <v>1</v>
      </c>
      <c r="C16">
        <v>2383</v>
      </c>
      <c r="E16" s="6" t="s">
        <v>0</v>
      </c>
      <c r="F16" s="6">
        <v>24215</v>
      </c>
    </row>
    <row r="17" spans="1:6" x14ac:dyDescent="0.25">
      <c r="A17" t="s">
        <v>9</v>
      </c>
      <c r="B17" t="s">
        <v>2</v>
      </c>
      <c r="C17">
        <v>611</v>
      </c>
      <c r="E17" s="6" t="s">
        <v>9</v>
      </c>
      <c r="F17" s="6">
        <v>8240</v>
      </c>
    </row>
    <row r="18" spans="1:6" x14ac:dyDescent="0.25">
      <c r="A18" t="s">
        <v>9</v>
      </c>
      <c r="B18" t="s">
        <v>3</v>
      </c>
      <c r="C18">
        <v>424</v>
      </c>
      <c r="E18" s="7" t="s">
        <v>17</v>
      </c>
      <c r="F18" s="6">
        <v>82729</v>
      </c>
    </row>
    <row r="19" spans="1:6" x14ac:dyDescent="0.25">
      <c r="A19" t="s">
        <v>9</v>
      </c>
      <c r="B19" t="s">
        <v>4</v>
      </c>
      <c r="C19">
        <v>1227</v>
      </c>
    </row>
    <row r="20" spans="1:6" x14ac:dyDescent="0.25">
      <c r="A20" t="s">
        <v>9</v>
      </c>
      <c r="B20" t="s">
        <v>5</v>
      </c>
      <c r="C20">
        <v>611</v>
      </c>
    </row>
    <row r="21" spans="1:6" x14ac:dyDescent="0.25">
      <c r="A21" t="s">
        <v>9</v>
      </c>
      <c r="B21" t="s">
        <v>6</v>
      </c>
      <c r="C21">
        <v>1237</v>
      </c>
    </row>
    <row r="22" spans="1:6" x14ac:dyDescent="0.25">
      <c r="A22" t="s">
        <v>9</v>
      </c>
      <c r="B22" t="s">
        <v>7</v>
      </c>
      <c r="C22">
        <v>1747</v>
      </c>
    </row>
  </sheetData>
  <mergeCells count="1">
    <mergeCell ref="K2:M2"/>
  </mergeCells>
  <conditionalFormatting sqref="L4:N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{6F210AB6-D780-4ADD-B2DF-B62C88C31473}</x14:id>
        </ext>
      </extLst>
    </cfRule>
  </conditionalFormatting>
  <pageMargins left="0.7" right="0.7" top="0.75" bottom="0.75" header="0.3" footer="0.3"/>
  <pageSetup paperSize="0" orientation="portrait" horizontalDpi="0" verticalDpi="0" copies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10AB6-D780-4ADD-B2DF-B62C88C31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L4:N8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Аркуш4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2015-06-05T18:19:34Z</dcterms:created>
  <dcterms:modified xsi:type="dcterms:W3CDTF">2026-03-28T17:47:59Z</dcterms:modified>
</cp:coreProperties>
</file>